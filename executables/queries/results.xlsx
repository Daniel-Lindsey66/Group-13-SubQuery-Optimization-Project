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<sst xmlns="http://schemas.openxmlformats.org/spreadsheetml/2006/main" count="118" uniqueCount="15">
  <si>
    <t>10K Dataset</t>
  </si>
  <si>
    <t>Trials</t>
  </si>
  <si>
    <t>Query 1</t>
  </si>
  <si>
    <t>Query 2</t>
  </si>
  <si>
    <t>Query 3</t>
  </si>
  <si>
    <t>Query 4</t>
  </si>
  <si>
    <t>Query 5</t>
  </si>
  <si>
    <t>Average (s)</t>
  </si>
  <si>
    <t>Query Type</t>
  </si>
  <si>
    <t>Column 1</t>
  </si>
  <si>
    <t>Correlated</t>
  </si>
  <si>
    <t>Nested</t>
  </si>
  <si>
    <t>Unnested</t>
  </si>
  <si>
    <t>Full Dataset</t>
  </si>
  <si>
    <t>DNF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</si>
</sst>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1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Crime Dataset Query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Sheet1!$B$29:$F$29</c:f>
            </c:strRef>
          </c:cat>
          <c:val>
            <c:numRef>
              <c:f>Sheet1!$B$30:$F$30</c:f>
              <c:numCache/>
            </c:numRef>
          </c:val>
        </c:ser>
        <c:ser>
          <c:idx val="1"/>
          <c:order val="1"/>
          <c:tx>
            <c:strRef>
              <c:f>Sheet1!$A$31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Sheet1!$B$29:$F$29</c:f>
            </c:strRef>
          </c:cat>
          <c:val>
            <c:numRef>
              <c:f>Sheet1!$B$31:$F$31</c:f>
              <c:numCache/>
            </c:numRef>
          </c:val>
        </c:ser>
        <c:ser>
          <c:idx val="2"/>
          <c:order val="2"/>
          <c:tx>
            <c:strRef>
              <c:f>Sheet1!$A$32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Sheet1!$B$29:$F$29</c:f>
            </c:strRef>
          </c:cat>
          <c:val>
            <c:numRef>
              <c:f>Sheet1!$B$32:$F$32</c:f>
              <c:numCache/>
            </c:numRef>
          </c:val>
        </c:ser>
        <c:axId val="1275104962"/>
        <c:axId val="1626425294"/>
      </c:barChart>
      <c:catAx>
        <c:axId val="1275104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425294"/>
      </c:catAx>
      <c:valAx>
        <c:axId val="1626425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104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Complaint Dataset Query Comparison</a:t>
            </a:r>
          </a:p>
        </c:rich>
      </c:tx>
      <c:layout>
        <c:manualLayout>
          <c:xMode val="edge"/>
          <c:yMode val="edge"/>
          <c:x val="0.03091666666666667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Sheet1!$H$30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Sheet1!$I$29:$M$29</c:f>
            </c:strRef>
          </c:cat>
          <c:val>
            <c:numRef>
              <c:f>Sheet1!$I$30:$M$30</c:f>
              <c:numCache/>
            </c:numRef>
          </c:val>
        </c:ser>
        <c:ser>
          <c:idx val="1"/>
          <c:order val="1"/>
          <c:tx>
            <c:strRef>
              <c:f>Sheet1!$H$31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Sheet1!$I$29:$M$29</c:f>
            </c:strRef>
          </c:cat>
          <c:val>
            <c:numRef>
              <c:f>Sheet1!$I$31:$M$31</c:f>
              <c:numCache/>
            </c:numRef>
          </c:val>
        </c:ser>
        <c:ser>
          <c:idx val="2"/>
          <c:order val="2"/>
          <c:tx>
            <c:strRef>
              <c:f>Sheet1!$H$32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Sheet1!$I$29:$M$29</c:f>
            </c:strRef>
          </c:cat>
          <c:val>
            <c:numRef>
              <c:f>Sheet1!$I$32:$M$32</c:f>
              <c:numCache/>
            </c:numRef>
          </c:val>
        </c:ser>
        <c:axId val="1865741498"/>
        <c:axId val="645628358"/>
      </c:barChart>
      <c:catAx>
        <c:axId val="1865741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628358"/>
      </c:catAx>
      <c:valAx>
        <c:axId val="645628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741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Nested and Unnested Query Comparison - Crime Dataset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Sheet1!$A$74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Sheet1!$B$72:$F$72</c:f>
            </c:strRef>
          </c:cat>
          <c:val>
            <c:numRef>
              <c:f>Sheet1!$B$74:$F$74</c:f>
              <c:numCache/>
            </c:numRef>
          </c:val>
        </c:ser>
        <c:ser>
          <c:idx val="1"/>
          <c:order val="1"/>
          <c:tx>
            <c:strRef>
              <c:f>Sheet1!$A$75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Sheet1!$B$72:$F$72</c:f>
            </c:strRef>
          </c:cat>
          <c:val>
            <c:numRef>
              <c:f>Sheet1!$B$75:$F$75</c:f>
              <c:numCache/>
            </c:numRef>
          </c:val>
        </c:ser>
        <c:axId val="1250617774"/>
        <c:axId val="1694887537"/>
      </c:barChart>
      <c:catAx>
        <c:axId val="1250617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Query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887537"/>
      </c:catAx>
      <c:valAx>
        <c:axId val="1694887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617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Nested and Unnested Query Comparison - Complaint Dataset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Sheet1!$H$74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Sheet1!$I$72:$M$72</c:f>
            </c:strRef>
          </c:cat>
          <c:val>
            <c:numRef>
              <c:f>Sheet1!$I$74:$M$74</c:f>
              <c:numCache/>
            </c:numRef>
          </c:val>
        </c:ser>
        <c:ser>
          <c:idx val="1"/>
          <c:order val="1"/>
          <c:tx>
            <c:strRef>
              <c:f>Sheet1!$H$75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Sheet1!$I$72:$M$72</c:f>
            </c:strRef>
          </c:cat>
          <c:val>
            <c:numRef>
              <c:f>Sheet1!$I$75:$M$75</c:f>
              <c:numCache/>
            </c:numRef>
          </c:val>
        </c:ser>
        <c:axId val="1249894526"/>
        <c:axId val="744069505"/>
      </c:barChart>
      <c:catAx>
        <c:axId val="1249894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Query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069505"/>
      </c:catAx>
      <c:valAx>
        <c:axId val="744069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894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33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33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76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952500</xdr:colOff>
      <xdr:row>76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5:F9" displayName="Crime_Correlated" name="Crime_Correlated" id="1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H5:M9" displayName="Complaint_Correlated" name="Complaint_Correlated" id="2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3:F17" displayName="Crime_Nested" name="Crime_Nested" id="3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H13:M17" displayName="Complaint_Nested" name="Complaint_Nested" id="4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21:F25" displayName="Crime_Uncorrelated" name="Crime_Uncorrelated" id="5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H21:M25" displayName="Complaint_Uncorrelated" name="Complaint_Uncorrelated" id="6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29:F32" displayName="Crime_Combined" name="Crime_Combined" id="7">
  <tableColumns count="6">
    <tableColumn name="Query Type" id="1"/>
    <tableColumn name="Query 1" id="2"/>
    <tableColumn name="Query 2" id="3"/>
    <tableColumn name="Query 3" id="4"/>
    <tableColumn name="Query 4" id="5"/>
    <tableColumn name="Query 5" id="6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H29:M32" displayName="Complaints_Combined" name="Complaints_Combined" id="8">
  <tableColumns count="6">
    <tableColumn name="Column 1" id="1"/>
    <tableColumn name="Query 1" id="2"/>
    <tableColumn name="Query 2" id="3"/>
    <tableColumn name="Query 3" id="4"/>
    <tableColumn name="Query 4" id="5"/>
    <tableColumn name="Query 5" id="6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A56:F60" displayName="Full_Crime_Nested" name="Full_Crime_Nested" id="9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ref="H56:M60" displayName="Full_Complaint_Nested" name="Full_Complaint_Nested" id="10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ref="A64:F68" displayName="Full_Crime_Unnested" name="Full_Crime_Unnested" id="11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ref="H64:M68" displayName="Full_Complaint_Unnested" name="Full_Complaint_Unnested" id="12">
  <tableColumns count="6">
    <tableColumn name="Trials" id="1"/>
    <tableColumn name="Query 1" id="2"/>
    <tableColumn name="Query 2" id="3"/>
    <tableColumn name="Query 3" id="4"/>
    <tableColumn name="Query 4" id="5"/>
    <tableColumn name="Query 5" id="6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ref="A72:F75" displayName="Full_Crime" name="Full_Crime" id="13">
  <tableColumns count="6">
    <tableColumn name="Query Type" id="1"/>
    <tableColumn name="Query 1" id="2"/>
    <tableColumn name="Query 2" id="3"/>
    <tableColumn name="Query 3" id="4"/>
    <tableColumn name="Query 4" id="5"/>
    <tableColumn name="Query 5" id="6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ref="H72:M75" displayName="Full_Complaint" name="Full_Complaint" id="14">
  <tableColumns count="6">
    <tableColumn name="Query Type" id="1"/>
    <tableColumn name="Query 1" id="2"/>
    <tableColumn name="Query 2" id="3"/>
    <tableColumn name="Query 3" id="4"/>
    <tableColumn name="Query 4" id="5"/>
    <tableColumn name="Query 5" id="6"/>
  </tableColumns>
  <tableStyleInfo name="Sheet1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drawing" Target="../drawings/drawing1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16" Type="http://schemas.openxmlformats.org/officeDocument/2006/relationships/table" Target="../tables/table1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B3" s="2"/>
      <c r="I3" s="2"/>
    </row>
    <row r="4">
      <c r="A4" s="1"/>
      <c r="B4" s="1"/>
      <c r="C4" s="1"/>
      <c r="D4" s="1"/>
      <c r="E4" s="1"/>
      <c r="F4" s="1"/>
      <c r="H4" s="1"/>
      <c r="I4" s="1"/>
      <c r="J4" s="1"/>
      <c r="K4" s="1"/>
      <c r="L4" s="1"/>
      <c r="M4" s="1"/>
    </row>
    <row r="5" ht="22.5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H5" s="3" t="s">
        <v>1</v>
      </c>
      <c r="I5" s="3" t="s">
        <v>2</v>
      </c>
      <c r="J5" s="3" t="s">
        <v>3</v>
      </c>
      <c r="K5" s="3" t="s">
        <v>4</v>
      </c>
      <c r="L5" s="3" t="s">
        <v>5</v>
      </c>
      <c r="M5" s="3" t="s">
        <v>6</v>
      </c>
    </row>
    <row r="6" ht="22.5" customHeight="1">
      <c r="A6" s="4">
        <v>1.0</v>
      </c>
      <c r="B6" s="5">
        <v>9.1</v>
      </c>
      <c r="C6" s="5">
        <v>0.131</v>
      </c>
      <c r="D6" s="5">
        <v>8.169</v>
      </c>
      <c r="E6" s="5">
        <v>8.235</v>
      </c>
      <c r="F6" s="5">
        <v>0.135</v>
      </c>
      <c r="H6" s="4">
        <v>1.0</v>
      </c>
      <c r="I6" s="5">
        <v>14.087</v>
      </c>
      <c r="J6" s="5">
        <v>0.086</v>
      </c>
      <c r="K6" s="5">
        <v>9.505</v>
      </c>
      <c r="L6" s="5">
        <v>15.1</v>
      </c>
      <c r="M6" s="5">
        <v>0.094</v>
      </c>
    </row>
    <row r="7" ht="22.5" customHeight="1">
      <c r="A7" s="4">
        <v>2.0</v>
      </c>
      <c r="B7" s="5">
        <v>9.187</v>
      </c>
      <c r="C7" s="5">
        <v>0.101</v>
      </c>
      <c r="D7" s="5">
        <v>8.24</v>
      </c>
      <c r="E7" s="5">
        <v>8.071</v>
      </c>
      <c r="F7" s="5">
        <v>0.111</v>
      </c>
      <c r="H7" s="4">
        <v>2.0</v>
      </c>
      <c r="I7" s="5">
        <v>13.575</v>
      </c>
      <c r="J7" s="5">
        <v>0.097</v>
      </c>
      <c r="K7" s="5">
        <v>10.014</v>
      </c>
      <c r="L7" s="5">
        <v>13.58</v>
      </c>
      <c r="M7" s="5">
        <v>0.111</v>
      </c>
    </row>
    <row r="8" ht="22.5" customHeight="1">
      <c r="A8" s="4">
        <v>3.0</v>
      </c>
      <c r="B8" s="5">
        <v>8.919</v>
      </c>
      <c r="C8" s="5">
        <v>0.108</v>
      </c>
      <c r="D8" s="5">
        <v>8.083</v>
      </c>
      <c r="E8" s="5">
        <v>8.557</v>
      </c>
      <c r="F8" s="5">
        <v>0.115</v>
      </c>
      <c r="H8" s="4">
        <v>3.0</v>
      </c>
      <c r="I8" s="5">
        <v>15.1</v>
      </c>
      <c r="J8" s="5">
        <v>0.076</v>
      </c>
      <c r="K8" s="5">
        <v>10.553</v>
      </c>
      <c r="L8" s="5">
        <v>14.1</v>
      </c>
      <c r="M8" s="5">
        <v>0.087</v>
      </c>
    </row>
    <row r="9" ht="22.5" customHeight="1">
      <c r="A9" s="5" t="s">
        <v>7</v>
      </c>
      <c r="B9" s="5">
        <f t="shared" ref="B9:F9" si="1">AVERAGE(B6:B8)</f>
        <v>9.068666667</v>
      </c>
      <c r="C9" s="5">
        <f t="shared" si="1"/>
        <v>0.1133333333</v>
      </c>
      <c r="D9" s="5">
        <f t="shared" si="1"/>
        <v>8.164</v>
      </c>
      <c r="E9" s="5">
        <f t="shared" si="1"/>
        <v>8.287666667</v>
      </c>
      <c r="F9" s="5">
        <f t="shared" si="1"/>
        <v>0.1203333333</v>
      </c>
      <c r="H9" s="5" t="s">
        <v>7</v>
      </c>
      <c r="I9" s="6">
        <f t="shared" ref="I9:M9" si="2">average(I6:I8)</f>
        <v>14.254</v>
      </c>
      <c r="J9" s="6">
        <f t="shared" si="2"/>
        <v>0.08633333333</v>
      </c>
      <c r="K9" s="6">
        <f t="shared" si="2"/>
        <v>10.024</v>
      </c>
      <c r="L9" s="6">
        <f t="shared" si="2"/>
        <v>14.26</v>
      </c>
      <c r="M9" s="6">
        <f t="shared" si="2"/>
        <v>0.09733333333</v>
      </c>
    </row>
    <row r="11">
      <c r="B11" s="2"/>
      <c r="I11" s="2"/>
    </row>
    <row r="12">
      <c r="A12" s="1"/>
      <c r="B12" s="1"/>
      <c r="C12" s="1"/>
      <c r="D12" s="1"/>
      <c r="E12" s="1"/>
      <c r="F12" s="1"/>
      <c r="H12" s="1"/>
      <c r="I12" s="1"/>
      <c r="J12" s="1"/>
      <c r="K12" s="1"/>
      <c r="L12" s="1"/>
      <c r="M12" s="1"/>
    </row>
    <row r="13" ht="22.5" customHeight="1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H13" s="3" t="s">
        <v>1</v>
      </c>
      <c r="I13" s="3" t="s">
        <v>2</v>
      </c>
      <c r="J13" s="3" t="s">
        <v>3</v>
      </c>
      <c r="K13" s="3" t="s">
        <v>4</v>
      </c>
      <c r="L13" s="3" t="s">
        <v>5</v>
      </c>
      <c r="M13" s="3" t="s">
        <v>6</v>
      </c>
    </row>
    <row r="14" ht="22.5" customHeight="1">
      <c r="A14" s="4">
        <v>1.0</v>
      </c>
      <c r="B14" s="5">
        <v>0.117</v>
      </c>
      <c r="C14" s="5">
        <v>0.11</v>
      </c>
      <c r="D14" s="5">
        <v>0.09</v>
      </c>
      <c r="E14" s="5">
        <v>0.068</v>
      </c>
      <c r="F14" s="5">
        <v>0.109</v>
      </c>
      <c r="H14" s="4">
        <v>1.0</v>
      </c>
      <c r="I14" s="5">
        <v>0.053</v>
      </c>
      <c r="J14" s="5">
        <v>0.063</v>
      </c>
      <c r="K14" s="5">
        <v>0.057</v>
      </c>
      <c r="L14" s="5">
        <v>0.7</v>
      </c>
      <c r="M14" s="5">
        <v>0.088</v>
      </c>
    </row>
    <row r="15" ht="22.5" customHeight="1">
      <c r="A15" s="4">
        <v>2.0</v>
      </c>
      <c r="B15" s="5">
        <v>0.113</v>
      </c>
      <c r="C15" s="5">
        <v>0.117</v>
      </c>
      <c r="D15" s="5">
        <v>0.061</v>
      </c>
      <c r="E15" s="5">
        <v>0.05</v>
      </c>
      <c r="F15" s="5">
        <v>0.111</v>
      </c>
      <c r="H15" s="4">
        <v>2.0</v>
      </c>
      <c r="I15" s="5">
        <v>0.062</v>
      </c>
      <c r="J15" s="5">
        <v>0.046</v>
      </c>
      <c r="K15" s="5">
        <v>0.59</v>
      </c>
      <c r="L15" s="5">
        <v>0.73</v>
      </c>
      <c r="M15" s="5">
        <v>0.092</v>
      </c>
    </row>
    <row r="16" ht="22.5" customHeight="1">
      <c r="A16" s="4">
        <v>3.0</v>
      </c>
      <c r="B16" s="5">
        <v>0.107</v>
      </c>
      <c r="C16" s="5">
        <v>0.104</v>
      </c>
      <c r="D16" s="5">
        <v>0.045</v>
      </c>
      <c r="E16" s="5">
        <v>0.051</v>
      </c>
      <c r="F16" s="5">
        <v>0.135</v>
      </c>
      <c r="H16" s="4">
        <v>3.0</v>
      </c>
      <c r="I16" s="5">
        <v>0.058</v>
      </c>
      <c r="J16" s="5">
        <v>0.049</v>
      </c>
      <c r="K16" s="5">
        <v>0.6</v>
      </c>
      <c r="L16" s="5">
        <v>0.53</v>
      </c>
      <c r="M16" s="5">
        <v>0.9</v>
      </c>
    </row>
    <row r="17" ht="22.5" customHeight="1">
      <c r="A17" s="5" t="s">
        <v>7</v>
      </c>
      <c r="B17" s="6">
        <f t="shared" ref="B17:F17" si="3">AVERAGE(B14:B16)</f>
        <v>0.1123333333</v>
      </c>
      <c r="C17" s="6">
        <f t="shared" si="3"/>
        <v>0.1103333333</v>
      </c>
      <c r="D17" s="6">
        <f t="shared" si="3"/>
        <v>0.06533333333</v>
      </c>
      <c r="E17" s="6">
        <f t="shared" si="3"/>
        <v>0.05633333333</v>
      </c>
      <c r="F17" s="6">
        <f t="shared" si="3"/>
        <v>0.1183333333</v>
      </c>
      <c r="H17" s="5" t="s">
        <v>7</v>
      </c>
      <c r="I17" s="6">
        <f t="shared" ref="I17:M17" si="4">AVERAGE(I14:I16)</f>
        <v>0.05766666667</v>
      </c>
      <c r="J17" s="6">
        <f t="shared" si="4"/>
        <v>0.05266666667</v>
      </c>
      <c r="K17" s="6">
        <f t="shared" si="4"/>
        <v>0.4156666667</v>
      </c>
      <c r="L17" s="6">
        <f t="shared" si="4"/>
        <v>0.6533333333</v>
      </c>
      <c r="M17" s="6">
        <f t="shared" si="4"/>
        <v>0.36</v>
      </c>
    </row>
    <row r="19">
      <c r="B19" s="2"/>
      <c r="I19" s="2"/>
    </row>
    <row r="20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</row>
    <row r="21" ht="22.5" customHeight="1">
      <c r="A21" s="3" t="s">
        <v>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H21" s="3" t="s">
        <v>1</v>
      </c>
      <c r="I21" s="3" t="s">
        <v>2</v>
      </c>
      <c r="J21" s="3" t="s">
        <v>3</v>
      </c>
      <c r="K21" s="3" t="s">
        <v>4</v>
      </c>
      <c r="L21" s="3" t="s">
        <v>5</v>
      </c>
      <c r="M21" s="3" t="s">
        <v>6</v>
      </c>
    </row>
    <row r="22" ht="22.5" customHeight="1">
      <c r="A22" s="4">
        <v>1.0</v>
      </c>
      <c r="B22" s="5">
        <v>0.122</v>
      </c>
      <c r="C22" s="5">
        <v>0.111</v>
      </c>
      <c r="D22" s="5">
        <v>0.088</v>
      </c>
      <c r="E22" s="5">
        <v>0.054</v>
      </c>
      <c r="F22" s="5">
        <v>0.103</v>
      </c>
      <c r="H22" s="4">
        <v>1.0</v>
      </c>
      <c r="I22" s="5">
        <v>0.058</v>
      </c>
      <c r="J22" s="5">
        <v>0.072</v>
      </c>
      <c r="K22" s="5">
        <v>0.061</v>
      </c>
      <c r="L22" s="5">
        <v>0.054</v>
      </c>
      <c r="M22" s="5">
        <v>0.091</v>
      </c>
    </row>
    <row r="23" ht="22.5" customHeight="1">
      <c r="A23" s="4">
        <v>2.0</v>
      </c>
      <c r="B23" s="5">
        <v>0.107</v>
      </c>
      <c r="C23" s="5">
        <v>0.106</v>
      </c>
      <c r="D23" s="5">
        <v>0.044</v>
      </c>
      <c r="E23" s="5">
        <v>0.056</v>
      </c>
      <c r="F23" s="5">
        <v>0.106</v>
      </c>
      <c r="H23" s="4">
        <v>2.0</v>
      </c>
      <c r="I23" s="5">
        <v>0.055</v>
      </c>
      <c r="J23" s="5">
        <v>0.046</v>
      </c>
      <c r="K23" s="5">
        <v>0.057</v>
      </c>
      <c r="L23" s="5">
        <v>0.084</v>
      </c>
      <c r="M23" s="5">
        <v>0.094</v>
      </c>
    </row>
    <row r="24" ht="22.5" customHeight="1">
      <c r="A24" s="4">
        <v>3.0</v>
      </c>
      <c r="B24" s="5">
        <v>0.115</v>
      </c>
      <c r="C24" s="5">
        <v>0.106</v>
      </c>
      <c r="D24" s="5">
        <v>0.092</v>
      </c>
      <c r="E24" s="5">
        <v>0.061</v>
      </c>
      <c r="F24" s="5">
        <v>0.129</v>
      </c>
      <c r="H24" s="4">
        <v>3.0</v>
      </c>
      <c r="I24" s="5">
        <v>0.051</v>
      </c>
      <c r="J24" s="5">
        <v>0.062</v>
      </c>
      <c r="K24" s="5">
        <v>0.089</v>
      </c>
      <c r="L24" s="5">
        <v>0.095</v>
      </c>
      <c r="M24" s="5">
        <v>0.093</v>
      </c>
    </row>
    <row r="25" ht="22.5" customHeight="1">
      <c r="A25" s="5" t="s">
        <v>7</v>
      </c>
      <c r="B25" s="6">
        <f t="shared" ref="B25:F25" si="5">AVERAGE(B22:B24)</f>
        <v>0.1146666667</v>
      </c>
      <c r="C25" s="6">
        <f t="shared" si="5"/>
        <v>0.1076666667</v>
      </c>
      <c r="D25" s="6">
        <f t="shared" si="5"/>
        <v>0.07466666667</v>
      </c>
      <c r="E25" s="6">
        <f t="shared" si="5"/>
        <v>0.057</v>
      </c>
      <c r="F25" s="6">
        <f t="shared" si="5"/>
        <v>0.1126666667</v>
      </c>
      <c r="H25" s="5" t="s">
        <v>7</v>
      </c>
      <c r="I25" s="6">
        <f t="shared" ref="I25:M25" si="6">AVERAGE(I22:I24)</f>
        <v>0.05466666667</v>
      </c>
      <c r="J25" s="6">
        <f t="shared" si="6"/>
        <v>0.06</v>
      </c>
      <c r="K25" s="6">
        <f t="shared" si="6"/>
        <v>0.069</v>
      </c>
      <c r="L25" s="6">
        <f t="shared" si="6"/>
        <v>0.07766666667</v>
      </c>
      <c r="M25" s="6">
        <f t="shared" si="6"/>
        <v>0.09266666667</v>
      </c>
    </row>
    <row r="29" ht="22.5" customHeight="1">
      <c r="A29" s="7" t="s">
        <v>8</v>
      </c>
      <c r="B29" s="3" t="s">
        <v>2</v>
      </c>
      <c r="C29" s="3" t="s">
        <v>3</v>
      </c>
      <c r="D29" s="3" t="s">
        <v>4</v>
      </c>
      <c r="E29" s="3" t="s">
        <v>5</v>
      </c>
      <c r="F29" s="3" t="s">
        <v>6</v>
      </c>
      <c r="H29" s="7" t="s">
        <v>9</v>
      </c>
      <c r="I29" s="3" t="s">
        <v>2</v>
      </c>
      <c r="J29" s="3" t="s">
        <v>3</v>
      </c>
      <c r="K29" s="3" t="s">
        <v>4</v>
      </c>
      <c r="L29" s="3" t="s">
        <v>5</v>
      </c>
      <c r="M29" s="3" t="s">
        <v>6</v>
      </c>
    </row>
    <row r="30" ht="22.5" customHeight="1">
      <c r="A30" s="5" t="s">
        <v>10</v>
      </c>
      <c r="B30" s="6">
        <f t="shared" ref="B30:F30" si="7">round(B9,3)</f>
        <v>9.069</v>
      </c>
      <c r="C30" s="6">
        <f t="shared" si="7"/>
        <v>0.113</v>
      </c>
      <c r="D30" s="6">
        <f t="shared" si="7"/>
        <v>8.164</v>
      </c>
      <c r="E30" s="6">
        <f t="shared" si="7"/>
        <v>8.288</v>
      </c>
      <c r="F30" s="6">
        <f t="shared" si="7"/>
        <v>0.12</v>
      </c>
      <c r="H30" s="5" t="s">
        <v>10</v>
      </c>
      <c r="I30" s="6">
        <f t="shared" ref="I30:M30" si="8">round(I9,3)</f>
        <v>14.254</v>
      </c>
      <c r="J30" s="6">
        <f t="shared" si="8"/>
        <v>0.086</v>
      </c>
      <c r="K30" s="6">
        <f t="shared" si="8"/>
        <v>10.024</v>
      </c>
      <c r="L30" s="6">
        <f t="shared" si="8"/>
        <v>14.26</v>
      </c>
      <c r="M30" s="6">
        <f t="shared" si="8"/>
        <v>0.097</v>
      </c>
    </row>
    <row r="31" ht="22.5" customHeight="1">
      <c r="A31" s="5" t="s">
        <v>11</v>
      </c>
      <c r="B31" s="6">
        <f t="shared" ref="B31:F31" si="9">round(B17,3)</f>
        <v>0.112</v>
      </c>
      <c r="C31" s="6">
        <f t="shared" si="9"/>
        <v>0.11</v>
      </c>
      <c r="D31" s="6">
        <f t="shared" si="9"/>
        <v>0.065</v>
      </c>
      <c r="E31" s="6">
        <f t="shared" si="9"/>
        <v>0.056</v>
      </c>
      <c r="F31" s="6">
        <f t="shared" si="9"/>
        <v>0.118</v>
      </c>
      <c r="H31" s="5" t="s">
        <v>11</v>
      </c>
      <c r="I31" s="6">
        <f t="shared" ref="I31:M31" si="10">round(I17,3)</f>
        <v>0.058</v>
      </c>
      <c r="J31" s="6">
        <f t="shared" si="10"/>
        <v>0.053</v>
      </c>
      <c r="K31" s="6">
        <f t="shared" si="10"/>
        <v>0.416</v>
      </c>
      <c r="L31" s="6">
        <f t="shared" si="10"/>
        <v>0.653</v>
      </c>
      <c r="M31" s="6">
        <f t="shared" si="10"/>
        <v>0.36</v>
      </c>
    </row>
    <row r="32" ht="22.5" customHeight="1">
      <c r="A32" s="5" t="s">
        <v>12</v>
      </c>
      <c r="B32" s="6">
        <f t="shared" ref="B32:F32" si="11">round(B25,3)</f>
        <v>0.115</v>
      </c>
      <c r="C32" s="6">
        <f t="shared" si="11"/>
        <v>0.108</v>
      </c>
      <c r="D32" s="6">
        <f t="shared" si="11"/>
        <v>0.075</v>
      </c>
      <c r="E32" s="6">
        <f t="shared" si="11"/>
        <v>0.057</v>
      </c>
      <c r="F32" s="6">
        <f t="shared" si="11"/>
        <v>0.113</v>
      </c>
      <c r="H32" s="5" t="s">
        <v>12</v>
      </c>
      <c r="I32" s="6">
        <f t="shared" ref="I32:M32" si="12">round(I25,3)</f>
        <v>0.055</v>
      </c>
      <c r="J32" s="6">
        <f t="shared" si="12"/>
        <v>0.06</v>
      </c>
      <c r="K32" s="6">
        <f t="shared" si="12"/>
        <v>0.069</v>
      </c>
      <c r="L32" s="6">
        <f t="shared" si="12"/>
        <v>0.078</v>
      </c>
      <c r="M32" s="6">
        <f t="shared" si="12"/>
        <v>0.093</v>
      </c>
    </row>
    <row r="53">
      <c r="A53" s="1" t="s">
        <v>13</v>
      </c>
    </row>
    <row r="54">
      <c r="B54" s="2"/>
      <c r="I54" s="2"/>
    </row>
    <row r="55">
      <c r="A55" s="1"/>
      <c r="B55" s="1"/>
      <c r="C55" s="1"/>
      <c r="D55" s="1"/>
      <c r="E55" s="1"/>
      <c r="F55" s="1"/>
      <c r="H55" s="1"/>
      <c r="I55" s="1"/>
      <c r="J55" s="1"/>
      <c r="K55" s="1"/>
      <c r="L55" s="1"/>
      <c r="M55" s="1"/>
    </row>
    <row r="56" ht="22.5" customHeight="1">
      <c r="A56" s="3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H56" s="3" t="s">
        <v>1</v>
      </c>
      <c r="I56" s="3" t="s">
        <v>2</v>
      </c>
      <c r="J56" s="3" t="s">
        <v>3</v>
      </c>
      <c r="K56" s="3" t="s">
        <v>4</v>
      </c>
      <c r="L56" s="3" t="s">
        <v>5</v>
      </c>
      <c r="M56" s="3" t="s">
        <v>6</v>
      </c>
    </row>
    <row r="57" ht="22.5" customHeight="1">
      <c r="A57" s="4">
        <v>1.0</v>
      </c>
      <c r="B57" s="5">
        <v>2.09</v>
      </c>
      <c r="C57" s="5">
        <v>2.835</v>
      </c>
      <c r="D57" s="5">
        <v>0.559</v>
      </c>
      <c r="E57" s="5">
        <v>0.407</v>
      </c>
      <c r="F57" s="5">
        <v>0.529</v>
      </c>
      <c r="H57" s="4">
        <v>1.0</v>
      </c>
      <c r="I57" s="5">
        <v>2.82</v>
      </c>
      <c r="J57" s="5">
        <v>0.387</v>
      </c>
      <c r="K57" s="5">
        <v>6.7</v>
      </c>
      <c r="L57" s="5">
        <v>5.997</v>
      </c>
      <c r="M57" s="5">
        <v>3.407</v>
      </c>
    </row>
    <row r="58" ht="22.5" customHeight="1">
      <c r="A58" s="4">
        <v>2.0</v>
      </c>
      <c r="B58" s="5">
        <v>2.014</v>
      </c>
      <c r="C58" s="5">
        <v>2.935</v>
      </c>
      <c r="D58" s="5">
        <v>0.408</v>
      </c>
      <c r="E58" s="5">
        <v>0.401</v>
      </c>
      <c r="F58" s="5">
        <v>0.449</v>
      </c>
      <c r="H58" s="4">
        <v>2.0</v>
      </c>
      <c r="I58" s="5">
        <v>2.95</v>
      </c>
      <c r="J58" s="5">
        <v>0.356</v>
      </c>
      <c r="K58" s="5">
        <v>6.57</v>
      </c>
      <c r="L58" s="5">
        <v>6.22</v>
      </c>
      <c r="M58" s="5">
        <v>3.362</v>
      </c>
    </row>
    <row r="59" ht="22.5" customHeight="1">
      <c r="A59" s="4">
        <v>3.0</v>
      </c>
      <c r="B59" s="5">
        <v>2.03</v>
      </c>
      <c r="C59" s="5">
        <v>2.854</v>
      </c>
      <c r="D59" s="5">
        <v>0.426</v>
      </c>
      <c r="E59" s="5">
        <v>0.449</v>
      </c>
      <c r="F59" s="5">
        <v>0.394</v>
      </c>
      <c r="H59" s="4">
        <v>3.0</v>
      </c>
      <c r="I59" s="5">
        <v>3.01</v>
      </c>
      <c r="J59" s="5">
        <v>0.388</v>
      </c>
      <c r="K59" s="5">
        <v>6.58</v>
      </c>
      <c r="L59" s="5">
        <v>6.67</v>
      </c>
      <c r="M59" s="5">
        <v>3.389</v>
      </c>
    </row>
    <row r="60" ht="22.5" customHeight="1">
      <c r="A60" s="5" t="s">
        <v>7</v>
      </c>
      <c r="B60" s="6">
        <f t="shared" ref="B60:F60" si="13">AVERAGE(B57:B59)</f>
        <v>2.044666667</v>
      </c>
      <c r="C60" s="6">
        <f t="shared" si="13"/>
        <v>2.874666667</v>
      </c>
      <c r="D60" s="6">
        <f t="shared" si="13"/>
        <v>0.4643333333</v>
      </c>
      <c r="E60" s="6">
        <f t="shared" si="13"/>
        <v>0.419</v>
      </c>
      <c r="F60" s="6">
        <f t="shared" si="13"/>
        <v>0.4573333333</v>
      </c>
      <c r="H60" s="5" t="s">
        <v>7</v>
      </c>
      <c r="I60" s="6">
        <f t="shared" ref="I60:M60" si="14">AVERAGE(I57:I59)</f>
        <v>2.926666667</v>
      </c>
      <c r="J60" s="6">
        <f t="shared" si="14"/>
        <v>0.377</v>
      </c>
      <c r="K60" s="6">
        <f t="shared" si="14"/>
        <v>6.616666667</v>
      </c>
      <c r="L60" s="6">
        <f t="shared" si="14"/>
        <v>6.295666667</v>
      </c>
      <c r="M60" s="6">
        <f t="shared" si="14"/>
        <v>3.386</v>
      </c>
    </row>
    <row r="62">
      <c r="B62" s="2"/>
      <c r="I62" s="2"/>
    </row>
    <row r="63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</row>
    <row r="64" ht="22.5" customHeight="1">
      <c r="A64" s="3" t="s">
        <v>1</v>
      </c>
      <c r="B64" s="3" t="s">
        <v>2</v>
      </c>
      <c r="C64" s="3" t="s">
        <v>3</v>
      </c>
      <c r="D64" s="3" t="s">
        <v>4</v>
      </c>
      <c r="E64" s="3" t="s">
        <v>5</v>
      </c>
      <c r="F64" s="3" t="s">
        <v>6</v>
      </c>
      <c r="H64" s="3" t="s">
        <v>1</v>
      </c>
      <c r="I64" s="3" t="s">
        <v>2</v>
      </c>
      <c r="J64" s="3" t="s">
        <v>3</v>
      </c>
      <c r="K64" s="3" t="s">
        <v>4</v>
      </c>
      <c r="L64" s="3" t="s">
        <v>5</v>
      </c>
      <c r="M64" s="3" t="s">
        <v>6</v>
      </c>
    </row>
    <row r="65" ht="22.5" customHeight="1">
      <c r="A65" s="4">
        <v>1.0</v>
      </c>
      <c r="B65" s="5">
        <v>1.951</v>
      </c>
      <c r="C65" s="5">
        <v>2.875</v>
      </c>
      <c r="D65" s="5">
        <v>0.477</v>
      </c>
      <c r="E65" s="5">
        <v>0.392</v>
      </c>
      <c r="F65" s="5">
        <v>0.379</v>
      </c>
      <c r="H65" s="4">
        <v>1.0</v>
      </c>
      <c r="I65" s="5">
        <v>2.827</v>
      </c>
      <c r="J65" s="5">
        <v>0.563</v>
      </c>
      <c r="K65" s="5">
        <v>6.84</v>
      </c>
      <c r="L65" s="5">
        <v>6.115</v>
      </c>
      <c r="M65" s="5">
        <v>3.182</v>
      </c>
    </row>
    <row r="66" ht="22.5" customHeight="1">
      <c r="A66" s="4">
        <v>2.0</v>
      </c>
      <c r="B66" s="5">
        <v>1.915</v>
      </c>
      <c r="C66" s="5">
        <v>2.816</v>
      </c>
      <c r="D66" s="5">
        <v>0.412</v>
      </c>
      <c r="E66" s="5">
        <v>0.437</v>
      </c>
      <c r="F66" s="5">
        <v>0.391</v>
      </c>
      <c r="H66" s="4">
        <v>2.0</v>
      </c>
      <c r="I66" s="5">
        <v>3.009</v>
      </c>
      <c r="J66" s="5">
        <v>0.567</v>
      </c>
      <c r="K66" s="5">
        <v>6.614</v>
      </c>
      <c r="L66" s="5">
        <v>5.969</v>
      </c>
      <c r="M66" s="5">
        <v>3.32</v>
      </c>
    </row>
    <row r="67" ht="22.5" customHeight="1">
      <c r="A67" s="4">
        <v>3.0</v>
      </c>
      <c r="B67" s="5">
        <v>2.013</v>
      </c>
      <c r="C67" s="5">
        <v>2.917</v>
      </c>
      <c r="D67" s="5">
        <v>0.418</v>
      </c>
      <c r="E67" s="5">
        <v>0.383</v>
      </c>
      <c r="F67" s="5">
        <v>0.386</v>
      </c>
      <c r="H67" s="4">
        <v>3.0</v>
      </c>
      <c r="I67" s="5">
        <v>2.93</v>
      </c>
      <c r="J67" s="5">
        <v>0.574</v>
      </c>
      <c r="K67" s="5">
        <v>6.521</v>
      </c>
      <c r="L67" s="5">
        <v>6.217</v>
      </c>
      <c r="M67" s="5">
        <v>3.384</v>
      </c>
    </row>
    <row r="68" ht="22.5" customHeight="1">
      <c r="A68" s="5" t="s">
        <v>7</v>
      </c>
      <c r="B68" s="6">
        <f t="shared" ref="B68:F68" si="15">AVERAGE(B65:B67)</f>
        <v>1.959666667</v>
      </c>
      <c r="C68" s="6">
        <f t="shared" si="15"/>
        <v>2.869333333</v>
      </c>
      <c r="D68" s="6">
        <f t="shared" si="15"/>
        <v>0.4356666667</v>
      </c>
      <c r="E68" s="6">
        <f t="shared" si="15"/>
        <v>0.404</v>
      </c>
      <c r="F68" s="6">
        <f t="shared" si="15"/>
        <v>0.3853333333</v>
      </c>
      <c r="H68" s="5" t="s">
        <v>7</v>
      </c>
      <c r="I68" s="6">
        <f t="shared" ref="I68:M68" si="16">AVERAGE(I65:I67)</f>
        <v>2.922</v>
      </c>
      <c r="J68" s="6">
        <f t="shared" si="16"/>
        <v>0.568</v>
      </c>
      <c r="K68" s="6">
        <f t="shared" si="16"/>
        <v>6.658333333</v>
      </c>
      <c r="L68" s="6">
        <f t="shared" si="16"/>
        <v>6.100333333</v>
      </c>
      <c r="M68" s="6">
        <f t="shared" si="16"/>
        <v>3.295333333</v>
      </c>
    </row>
    <row r="72" ht="22.5" customHeight="1">
      <c r="A72" s="7" t="s">
        <v>8</v>
      </c>
      <c r="B72" s="3" t="s">
        <v>2</v>
      </c>
      <c r="C72" s="3" t="s">
        <v>3</v>
      </c>
      <c r="D72" s="3" t="s">
        <v>4</v>
      </c>
      <c r="E72" s="3" t="s">
        <v>5</v>
      </c>
      <c r="F72" s="3" t="s">
        <v>6</v>
      </c>
      <c r="H72" s="7" t="s">
        <v>8</v>
      </c>
      <c r="I72" s="3" t="s">
        <v>2</v>
      </c>
      <c r="J72" s="3" t="s">
        <v>3</v>
      </c>
      <c r="K72" s="3" t="s">
        <v>4</v>
      </c>
      <c r="L72" s="3" t="s">
        <v>5</v>
      </c>
      <c r="M72" s="3" t="s">
        <v>6</v>
      </c>
    </row>
    <row r="73" ht="22.5" customHeight="1">
      <c r="A73" s="5" t="s">
        <v>10</v>
      </c>
      <c r="B73" s="5" t="s">
        <v>14</v>
      </c>
      <c r="C73" s="5" t="s">
        <v>14</v>
      </c>
      <c r="D73" s="5" t="s">
        <v>14</v>
      </c>
      <c r="E73" s="5" t="s">
        <v>14</v>
      </c>
      <c r="F73" s="5" t="s">
        <v>14</v>
      </c>
      <c r="H73" s="5" t="s">
        <v>10</v>
      </c>
      <c r="I73" s="5" t="s">
        <v>14</v>
      </c>
      <c r="J73" s="5" t="s">
        <v>14</v>
      </c>
      <c r="K73" s="5" t="s">
        <v>14</v>
      </c>
      <c r="L73" s="5" t="s">
        <v>14</v>
      </c>
      <c r="M73" s="5" t="s">
        <v>14</v>
      </c>
    </row>
    <row r="74" ht="22.5" customHeight="1">
      <c r="A74" s="5" t="s">
        <v>11</v>
      </c>
      <c r="B74" s="6">
        <f t="shared" ref="B74:F74" si="17">round(B60,3)</f>
        <v>2.045</v>
      </c>
      <c r="C74" s="6">
        <f t="shared" si="17"/>
        <v>2.875</v>
      </c>
      <c r="D74" s="6">
        <f t="shared" si="17"/>
        <v>0.464</v>
      </c>
      <c r="E74" s="6">
        <f t="shared" si="17"/>
        <v>0.419</v>
      </c>
      <c r="F74" s="6">
        <f t="shared" si="17"/>
        <v>0.457</v>
      </c>
      <c r="H74" s="5" t="s">
        <v>11</v>
      </c>
      <c r="I74" s="6">
        <f t="shared" ref="I74:M74" si="18">round(I60,3)</f>
        <v>2.927</v>
      </c>
      <c r="J74" s="6">
        <f t="shared" si="18"/>
        <v>0.377</v>
      </c>
      <c r="K74" s="6">
        <f t="shared" si="18"/>
        <v>6.617</v>
      </c>
      <c r="L74" s="6">
        <f t="shared" si="18"/>
        <v>6.296</v>
      </c>
      <c r="M74" s="6">
        <f t="shared" si="18"/>
        <v>3.386</v>
      </c>
    </row>
    <row r="75" ht="22.5" customHeight="1">
      <c r="A75" s="5" t="s">
        <v>12</v>
      </c>
      <c r="B75" s="6">
        <f t="shared" ref="B75:F75" si="19">round(B68,3)</f>
        <v>1.96</v>
      </c>
      <c r="C75" s="6">
        <f t="shared" si="19"/>
        <v>2.869</v>
      </c>
      <c r="D75" s="6">
        <f t="shared" si="19"/>
        <v>0.436</v>
      </c>
      <c r="E75" s="6">
        <f t="shared" si="19"/>
        <v>0.404</v>
      </c>
      <c r="F75" s="6">
        <f t="shared" si="19"/>
        <v>0.385</v>
      </c>
      <c r="H75" s="5" t="s">
        <v>12</v>
      </c>
      <c r="I75" s="6">
        <f t="shared" ref="I75:M75" si="20">round(I68,3)</f>
        <v>2.922</v>
      </c>
      <c r="J75" s="6">
        <f t="shared" si="20"/>
        <v>0.568</v>
      </c>
      <c r="K75" s="6">
        <f t="shared" si="20"/>
        <v>6.658</v>
      </c>
      <c r="L75" s="6">
        <f t="shared" si="20"/>
        <v>6.1</v>
      </c>
      <c r="M75" s="6">
        <f t="shared" si="20"/>
        <v>3.295</v>
      </c>
    </row>
  </sheetData>
  <mergeCells count="10">
    <mergeCell ref="B54:F54"/>
    <mergeCell ref="B62:F62"/>
    <mergeCell ref="I62:M62"/>
    <mergeCell ref="B3:F3"/>
    <mergeCell ref="I3:M3"/>
    <mergeCell ref="B11:F11"/>
    <mergeCell ref="I11:M11"/>
    <mergeCell ref="B19:F19"/>
    <mergeCell ref="I19:M19"/>
    <mergeCell ref="I54:M54"/>
  </mergeCells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